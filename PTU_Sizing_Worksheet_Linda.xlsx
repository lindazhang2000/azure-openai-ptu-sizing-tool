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icrosoft-my.sharepoint.com/personal/zhenlzhang_microsoft_com/Documents/Desktop/gbbfy26/PTU_IP/"/>
    </mc:Choice>
  </mc:AlternateContent>
  <xr:revisionPtr revIDLastSave="0" documentId="8_{0984F751-E0A6-4D3C-85E6-8BDE17495984}" xr6:coauthVersionLast="47" xr6:coauthVersionMax="47" xr10:uidLastSave="{00000000-0000-0000-0000-000000000000}"/>
  <bookViews>
    <workbookView xWindow="1029" yWindow="1791" windowWidth="2991" windowHeight="1843" activeTab="1" xr2:uid="{00000000-000D-0000-FFFF-FFFF00000000}"/>
  </bookViews>
  <sheets>
    <sheet name="Instructions" sheetId="1" r:id="rId1"/>
    <sheet name="Controls" sheetId="2" r:id="rId2"/>
    <sheet name="Model_Lookups" sheetId="3" r:id="rId3"/>
    <sheet name="Workload_Sizing" sheetId="4" r:id="rId4"/>
    <sheet name="Summary" sheetId="5" r:id="rId5"/>
  </sheets>
  <calcPr calcId="191028" calcCompleted="0" forceFullCalc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A24" i="5"/>
  <c r="A23" i="5"/>
  <c r="A22" i="5"/>
  <c r="A21" i="5"/>
  <c r="A20" i="5"/>
  <c r="A19" i="5"/>
  <c r="A18" i="5"/>
  <c r="A17" i="5"/>
  <c r="A16" i="5"/>
  <c r="A15" i="5"/>
  <c r="B11" i="5"/>
  <c r="B10" i="5"/>
  <c r="B9" i="5"/>
  <c r="B6" i="5"/>
  <c r="J24" i="4"/>
  <c r="M24" i="4" s="1"/>
  <c r="J23" i="4"/>
  <c r="M23" i="4" s="1"/>
  <c r="J22" i="4"/>
  <c r="M22" i="4" s="1"/>
  <c r="J21" i="4"/>
  <c r="M21" i="4" s="1"/>
  <c r="J20" i="4"/>
  <c r="M20" i="4" s="1"/>
  <c r="J19" i="4"/>
  <c r="M19" i="4" s="1"/>
  <c r="J18" i="4"/>
  <c r="M18" i="4" s="1"/>
  <c r="J17" i="4"/>
  <c r="M17" i="4" s="1"/>
  <c r="J16" i="4"/>
  <c r="M16" i="4" s="1"/>
  <c r="J15" i="4"/>
  <c r="M15" i="4" s="1"/>
  <c r="J14" i="4"/>
  <c r="M14" i="4" s="1"/>
  <c r="J13" i="4"/>
  <c r="M13" i="4" s="1"/>
  <c r="J12" i="4"/>
  <c r="M12" i="4" s="1"/>
  <c r="J11" i="4"/>
  <c r="M11" i="4" s="1"/>
  <c r="J10" i="4"/>
  <c r="M10" i="4" s="1"/>
  <c r="J9" i="4"/>
  <c r="M9" i="4" s="1"/>
  <c r="J8" i="4"/>
  <c r="M8" i="4" s="1"/>
  <c r="J7" i="4"/>
  <c r="M7" i="4" s="1"/>
  <c r="J6" i="4"/>
  <c r="J5" i="4"/>
  <c r="E9" i="3"/>
  <c r="D9" i="3"/>
  <c r="M5" i="4" l="1"/>
  <c r="N5" i="4" s="1"/>
  <c r="P5" i="4" s="1"/>
  <c r="M6" i="4"/>
  <c r="N6" i="4" s="1"/>
  <c r="P6" i="4" s="1"/>
  <c r="B16" i="5" s="1"/>
  <c r="N24" i="4"/>
  <c r="P24" i="4" s="1"/>
  <c r="N23" i="4"/>
  <c r="P23" i="4" s="1"/>
  <c r="N22" i="4"/>
  <c r="P22" i="4" s="1"/>
  <c r="N21" i="4"/>
  <c r="P21" i="4" s="1"/>
  <c r="N20" i="4"/>
  <c r="P20" i="4" s="1"/>
  <c r="N19" i="4"/>
  <c r="P19" i="4" s="1"/>
  <c r="N18" i="4"/>
  <c r="P18" i="4" s="1"/>
  <c r="N17" i="4"/>
  <c r="P17" i="4" s="1"/>
  <c r="N16" i="4"/>
  <c r="P16" i="4" s="1"/>
  <c r="N15" i="4"/>
  <c r="P15" i="4" s="1"/>
  <c r="N14" i="4"/>
  <c r="P14" i="4" s="1"/>
  <c r="B24" i="5" s="1"/>
  <c r="N13" i="4"/>
  <c r="P13" i="4" s="1"/>
  <c r="B23" i="5" s="1"/>
  <c r="N12" i="4"/>
  <c r="P12" i="4" s="1"/>
  <c r="B22" i="5" s="1"/>
  <c r="N11" i="4"/>
  <c r="P11" i="4" s="1"/>
  <c r="B21" i="5" s="1"/>
  <c r="N10" i="4"/>
  <c r="P10" i="4" s="1"/>
  <c r="B20" i="5" s="1"/>
  <c r="N9" i="4"/>
  <c r="P9" i="4" s="1"/>
  <c r="B19" i="5" s="1"/>
  <c r="N8" i="4"/>
  <c r="P8" i="4" s="1"/>
  <c r="B18" i="5" s="1"/>
  <c r="N7" i="4"/>
  <c r="P7" i="4" s="1"/>
  <c r="B17" i="5" s="1"/>
  <c r="B8" i="5" l="1"/>
  <c r="B15" i="5"/>
  <c r="B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Workbook structure was designed from your PTU FAQ, Allstate PTU guidance, and PTU sizing inputs documents.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B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Baseline load factor should reflect how much of peak demand you intend PTU to cover as the steady-state baseline.</t>
        </r>
      </text>
    </comment>
    <comment ref="B8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Replace with the model-specific output:input weighting used in your official PTU calculator or validated benchmark.</t>
        </r>
      </text>
    </comment>
    <comment ref="B9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Replace with model/deployment throughput value from the official PTU calculator.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Copilot</author>
  </authors>
  <commentList>
    <comment ref="M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Baseline Input-Equivalent TPM uses editable output weighting and throughput assumptions so the workbook can be reused across models.</t>
        </r>
      </text>
    </comment>
  </commentList>
</comments>
</file>

<file path=xl/sharedStrings.xml><?xml version="1.0" encoding="utf-8"?>
<sst xmlns="http://schemas.openxmlformats.org/spreadsheetml/2006/main" count="143" uniqueCount="105">
  <si>
    <t>PTU Sizing Worksheet Template</t>
  </si>
  <si>
    <t>Companion IP asset for customer discovery, pilot sizing, and reservation planning.</t>
  </si>
  <si>
    <t>What this workbook does</t>
  </si>
  <si>
    <t>Purpose</t>
  </si>
  <si>
    <t>Provides a structured template to collect workload telemetry, estimate baseline PTU needs, and summarize deployment + reservation planning.</t>
  </si>
  <si>
    <t>How to use</t>
  </si>
  <si>
    <t>1) Update Controls. 2) Populate Model_Lookups with official calculator values. 3) Enter each workload on Workload_Sizing. 4) Review Summary.</t>
  </si>
  <si>
    <t>Important</t>
  </si>
  <si>
    <t>This workbook is a planning template. Replace editable lookup and price inputs with validated customer-specific values before sharing externally.</t>
  </si>
  <si>
    <t>Guiding principles reflected in the workbook</t>
  </si>
  <si>
    <t>•</t>
  </si>
  <si>
    <t>PTU is a throughput construct measured in tokens per minute (TPM).</t>
  </si>
  <si>
    <t>Size PTU for the production baseline rather than every short-lived peak.</t>
  </si>
  <si>
    <t>Use hourly PTU to validate the workload before applying reservation coverage.</t>
  </si>
  <si>
    <t>PAYGO / Standard can be used as the burst or overflow layer.</t>
  </si>
  <si>
    <t>Telemetry quality matters: use TPM, RPM, request shape, burstiness, and cache rate.</t>
  </si>
  <si>
    <t>Color convention</t>
  </si>
  <si>
    <t>Blue text</t>
  </si>
  <si>
    <t>User inputs / values to change</t>
  </si>
  <si>
    <t>Black text</t>
  </si>
  <si>
    <t>Formulas / calculations</t>
  </si>
  <si>
    <t>Gray text</t>
  </si>
  <si>
    <t>Static guidance / labels</t>
  </si>
  <si>
    <t>Yellow fill</t>
  </si>
  <si>
    <t>Controls or review cells needing confirmation</t>
  </si>
  <si>
    <t>Controls</t>
  </si>
  <si>
    <t>Editable assumptions used across the workbook. Replace review values with customer-specific validated inputs.</t>
  </si>
  <si>
    <t>Sizing controls</t>
  </si>
  <si>
    <t>Control</t>
  </si>
  <si>
    <t>Value</t>
  </si>
  <si>
    <t>Units</t>
  </si>
  <si>
    <t>Guidance</t>
  </si>
  <si>
    <t>Status</t>
  </si>
  <si>
    <t>Baseline load factor</t>
  </si>
  <si>
    <t>% of peak RPM used for baseline sizing</t>
  </si>
  <si>
    <t>Use the share of peak traffic you want PTU to cover as the steady-state baseline.</t>
  </si>
  <si>
    <t>Review</t>
  </si>
  <si>
    <t>Safety buffer</t>
  </si>
  <si>
    <t>%</t>
  </si>
  <si>
    <t>Additional headroom applied to estimated PTUs.</t>
  </si>
  <si>
    <t>Default output weight</t>
  </si>
  <si>
    <t>input-equivalent tokens / output token</t>
  </si>
  <si>
    <t>Editable placeholder if no model-specific value is entered in Model_Lookups.</t>
  </si>
  <si>
    <t>Default PTU throughput</t>
  </si>
  <si>
    <t>input-equivalent TPM per PTU</t>
  </si>
  <si>
    <t>Editable placeholder if no model-specific throughput value is entered in Model_Lookups.</t>
  </si>
  <si>
    <t>Hourly PTU price</t>
  </si>
  <si>
    <t>currency / PTU / hour</t>
  </si>
  <si>
    <t>Optional commercial input used only for summary estimates.</t>
  </si>
  <si>
    <t>Optional</t>
  </si>
  <si>
    <t>Monthly reservation price</t>
  </si>
  <si>
    <t>currency / PTU / month</t>
  </si>
  <si>
    <t>1-year reservation monthly equivalent</t>
  </si>
  <si>
    <t>Model_Lookups</t>
  </si>
  <si>
    <t>Editable lookup table for model-specific sizing inputs. Replace placeholders with official values before customer use.</t>
  </si>
  <si>
    <t>Model</t>
  </si>
  <si>
    <t>Deployment Type</t>
  </si>
  <si>
    <t>Region / Scope</t>
  </si>
  <si>
    <t>Input TPM per PTU</t>
  </si>
  <si>
    <t>Output Weight</t>
  </si>
  <si>
    <t>Min PTU Qty</t>
  </si>
  <si>
    <t>Notes</t>
  </si>
  <si>
    <t>gpt-4.1</t>
  </si>
  <si>
    <t>Global / DZ / Regional</t>
  </si>
  <si>
    <t>Editable</t>
  </si>
  <si>
    <t>Placeholder example – replace with official calculator values.</t>
  </si>
  <si>
    <t>gpt-4o</t>
  </si>
  <si>
    <t>gpt-4o-mini</t>
  </si>
  <si>
    <t>o-series</t>
  </si>
  <si>
    <t>custom / other</t>
  </si>
  <si>
    <t>Use this row for any model not yet listed.</t>
  </si>
  <si>
    <t>Workload_Sizing</t>
  </si>
  <si>
    <t>Enter one row per workload. Blue/input cells are intended to be edited; black cells are formulas.</t>
  </si>
  <si>
    <t>Workload</t>
  </si>
  <si>
    <t>Region/Scope</t>
  </si>
  <si>
    <t>Avg RPM</t>
  </si>
  <si>
    <t>Peak RPM</t>
  </si>
  <si>
    <t>Avg In Tokens</t>
  </si>
  <si>
    <t>Avg Out Tokens</t>
  </si>
  <si>
    <t>Cache %</t>
  </si>
  <si>
    <t>Baseline RPM</t>
  </si>
  <si>
    <t>Input TPM/PTU</t>
  </si>
  <si>
    <t>Baseline Input-Equivalent TPM</t>
  </si>
  <si>
    <t>PTUs (rounded)</t>
  </si>
  <si>
    <t>Min PTU</t>
  </si>
  <si>
    <t>Recommended PTU</t>
  </si>
  <si>
    <t>Agent Assist</t>
  </si>
  <si>
    <t>Data Zone</t>
  </si>
  <si>
    <t>US</t>
  </si>
  <si>
    <t>Illustrative example row</t>
  </si>
  <si>
    <t>Document Q&amp;A</t>
  </si>
  <si>
    <t>Global</t>
  </si>
  <si>
    <t>Summary</t>
  </si>
  <si>
    <t>Pulls together total estimated PTUs and optional commercial estimates based on editable controls.</t>
  </si>
  <si>
    <t>Portfolio summary</t>
  </si>
  <si>
    <t>Metric</t>
  </si>
  <si>
    <t>Active workloads entered</t>
  </si>
  <si>
    <t>Total recommended PTUs</t>
  </si>
  <si>
    <t>PTUs</t>
  </si>
  <si>
    <t>Total baseline input-equivalent TPM</t>
  </si>
  <si>
    <t>Estimated hourly PTU cost</t>
  </si>
  <si>
    <t>currency</t>
  </si>
  <si>
    <t>Optional cost rows require commercial inputs in Controls.</t>
  </si>
  <si>
    <t>Estimated monthly reservation cost</t>
  </si>
  <si>
    <t>Estimated 1-year reservation monthly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</si>
</sst>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"/>
    <numFmt numFmtId="166" formatCode="0.0"/>
    <numFmt numFmtId="167" formatCode="\$#,##0.00;[Red]\(\$#,##0.00\);\-"/>
  </numFmts>
  <fonts count="14" x14ac:knownFonts="1">
    <font>
      <sz val="11"/>
      <color theme="1"/>
      <name val="Calibri"/>
      <family val="2"/>
      <scheme val="minor"/>
    </font>
    <font>
      <b/>
      <sz val="18"/>
      <color rgb="FF0F172A"/>
      <name val="Aptos Display"/>
    </font>
    <font>
      <sz val="10"/>
      <color rgb="FF475569"/>
      <name val="Aptos"/>
    </font>
    <font>
      <b/>
      <sz val="13"/>
      <color rgb="FF0F172A"/>
      <name val="Aptos"/>
    </font>
    <font>
      <b/>
      <sz val="10"/>
      <color rgb="FF0F172A"/>
      <name val="Aptos"/>
    </font>
    <font>
      <b/>
      <sz val="11"/>
      <color rgb="FF2563EB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666666"/>
      <name val="Calibri"/>
    </font>
    <font>
      <b/>
      <sz val="11"/>
      <color rgb="FF0F172A"/>
      <name val="Calibri"/>
    </font>
    <font>
      <b/>
      <sz val="12"/>
      <color rgb="FFFFFFFF"/>
      <name val="Aptos"/>
    </font>
    <font>
      <sz val="11"/>
      <color rgb="FF0000FF"/>
      <name val="Aptos"/>
    </font>
    <font>
      <sz val="11"/>
      <color rgb="FF666666"/>
      <name val="Aptos"/>
    </font>
    <font>
      <sz val="11"/>
      <color rgb="FF000000"/>
      <name val="Aptos"/>
    </font>
  </fonts>
  <fills count="9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FFDF2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F172A"/>
      </bottom>
      <diagonal/>
    </border>
    <border>
      <left/>
      <right/>
      <top style="medium">
        <color rgb="FF0F172A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0" fillId="0" borderId="0" xfId="0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0" xfId="0" applyFont="1" applyFill="1"/>
    <xf numFmtId="0" fontId="10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164" fontId="11" fillId="3" borderId="3" xfId="0" applyNumberFormat="1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0" fillId="5" borderId="3" xfId="0" applyFill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167" fontId="11" fillId="3" borderId="3" xfId="0" applyNumberFormat="1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3" fontId="11" fillId="3" borderId="3" xfId="0" applyNumberFormat="1" applyFont="1" applyFill="1" applyBorder="1" applyAlignment="1">
      <alignment horizontal="center" vertical="center" wrapText="1"/>
    </xf>
    <xf numFmtId="166" fontId="11" fillId="3" borderId="3" xfId="0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center" vertical="center" wrapText="1"/>
    </xf>
    <xf numFmtId="3" fontId="13" fillId="0" borderId="3" xfId="0" applyNumberFormat="1" applyFont="1" applyBorder="1" applyAlignment="1">
      <alignment horizontal="center" vertical="center" wrapText="1"/>
    </xf>
    <xf numFmtId="166" fontId="13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67" fontId="13" fillId="6" borderId="3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0" fillId="2" borderId="1" xfId="0" applyFill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">
    <dxf>
      <fill>
        <patternFill patternType="solid">
          <fgColor rgb="FFDCFCE7"/>
        </patternFill>
      </fill>
    </dxf>
    <dxf>
      <fill>
        <patternFill patternType="solid">
          <fgColor rgb="FFDBEAF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Recommended PTUs by workload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Recommended PTU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Summary!$A$15:$A$24</c:f>
              <c:strCache>
                <c:ptCount val="10"/>
                <c:pt idx="0">
                  <c:v>Agent Assist</c:v>
                </c:pt>
                <c:pt idx="1">
                  <c:v>Document Q&amp;A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strCache>
            </c:strRef>
          </c:cat>
          <c:val>
            <c:numRef>
              <c:f>Summary!$B$15:$B$24</c:f>
              <c:numCache>
                <c:formatCode>General</c:formatCode>
                <c:ptCount val="10"/>
                <c:pt idx="0">
                  <c:v>66</c:v>
                </c:pt>
                <c:pt idx="1">
                  <c:v>56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8A-4439-829E-04E9FB207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Workload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324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topLeftCell="A10" workbookViewId="0">
      <selection activeCell="B26" sqref="B26"/>
    </sheetView>
  </sheetViews>
  <sheetFormatPr defaultRowHeight="14.6" x14ac:dyDescent="0.4"/>
  <cols>
    <col min="1" max="1" width="22" customWidth="1"/>
    <col min="2" max="2" width="34" customWidth="1"/>
    <col min="3" max="3" width="35" customWidth="1"/>
    <col min="4" max="4" width="22" customWidth="1"/>
    <col min="5" max="5" width="28" customWidth="1"/>
    <col min="6" max="7" width="12" customWidth="1"/>
    <col min="8" max="8" width="14" customWidth="1"/>
  </cols>
  <sheetData>
    <row r="1" spans="1:8" ht="24" customHeight="1" x14ac:dyDescent="0.4">
      <c r="A1" s="36" t="s">
        <v>0</v>
      </c>
      <c r="B1" s="35"/>
      <c r="C1" s="35"/>
      <c r="D1" s="35"/>
      <c r="E1" s="35"/>
      <c r="F1" s="35"/>
      <c r="G1" s="35"/>
      <c r="H1" s="35"/>
    </row>
    <row r="2" spans="1:8" ht="18" customHeight="1" x14ac:dyDescent="0.4">
      <c r="A2" s="34" t="s">
        <v>1</v>
      </c>
      <c r="B2" s="35"/>
      <c r="C2" s="35"/>
      <c r="D2" s="35"/>
      <c r="E2" s="35"/>
      <c r="F2" s="35"/>
      <c r="G2" s="35"/>
      <c r="H2" s="35"/>
    </row>
    <row r="4" spans="1:8" ht="16.75" x14ac:dyDescent="0.45">
      <c r="A4" s="32" t="s">
        <v>2</v>
      </c>
      <c r="B4" s="33"/>
      <c r="C4" s="33"/>
      <c r="D4" s="33"/>
      <c r="E4" s="33"/>
      <c r="F4" s="33"/>
    </row>
    <row r="5" spans="1:8" ht="58.3" x14ac:dyDescent="0.4">
      <c r="A5" s="1" t="s">
        <v>3</v>
      </c>
      <c r="B5" s="2" t="s">
        <v>4</v>
      </c>
    </row>
    <row r="6" spans="1:8" ht="58.3" x14ac:dyDescent="0.4">
      <c r="A6" s="1" t="s">
        <v>5</v>
      </c>
      <c r="B6" s="2" t="s">
        <v>6</v>
      </c>
    </row>
    <row r="7" spans="1:8" ht="58.3" x14ac:dyDescent="0.4">
      <c r="A7" s="1" t="s">
        <v>7</v>
      </c>
      <c r="B7" s="2" t="s">
        <v>8</v>
      </c>
    </row>
    <row r="10" spans="1:8" ht="16.75" x14ac:dyDescent="0.45">
      <c r="A10" s="32" t="s">
        <v>9</v>
      </c>
      <c r="B10" s="33"/>
      <c r="C10" s="33"/>
      <c r="D10" s="33"/>
      <c r="E10" s="33"/>
      <c r="F10" s="33"/>
    </row>
    <row r="11" spans="1:8" ht="29.15" x14ac:dyDescent="0.4">
      <c r="A11" s="3" t="s">
        <v>10</v>
      </c>
      <c r="B11" s="2" t="s">
        <v>11</v>
      </c>
    </row>
    <row r="12" spans="1:8" ht="29.15" x14ac:dyDescent="0.4">
      <c r="A12" s="3" t="s">
        <v>10</v>
      </c>
      <c r="B12" s="2" t="s">
        <v>12</v>
      </c>
    </row>
    <row r="13" spans="1:8" ht="43.75" x14ac:dyDescent="0.4">
      <c r="A13" s="3" t="s">
        <v>10</v>
      </c>
      <c r="B13" s="2" t="s">
        <v>13</v>
      </c>
    </row>
    <row r="14" spans="1:8" ht="29.15" x14ac:dyDescent="0.4">
      <c r="A14" s="3" t="s">
        <v>10</v>
      </c>
      <c r="B14" s="2" t="s">
        <v>14</v>
      </c>
    </row>
    <row r="15" spans="1:8" ht="43.75" x14ac:dyDescent="0.4">
      <c r="A15" s="3" t="s">
        <v>10</v>
      </c>
      <c r="B15" s="2" t="s">
        <v>15</v>
      </c>
    </row>
    <row r="18" spans="1:6" ht="16.75" x14ac:dyDescent="0.45">
      <c r="A18" s="32" t="s">
        <v>16</v>
      </c>
      <c r="B18" s="33"/>
      <c r="C18" s="33"/>
      <c r="D18" s="33"/>
      <c r="E18" s="33"/>
      <c r="F18" s="33"/>
    </row>
    <row r="19" spans="1:6" x14ac:dyDescent="0.4">
      <c r="A19" s="4" t="s">
        <v>17</v>
      </c>
      <c r="B19" t="s">
        <v>18</v>
      </c>
    </row>
    <row r="20" spans="1:6" x14ac:dyDescent="0.4">
      <c r="A20" s="5" t="s">
        <v>19</v>
      </c>
      <c r="B20" t="s">
        <v>20</v>
      </c>
    </row>
    <row r="21" spans="1:6" x14ac:dyDescent="0.4">
      <c r="A21" s="6" t="s">
        <v>21</v>
      </c>
      <c r="B21" t="s">
        <v>22</v>
      </c>
    </row>
    <row r="22" spans="1:6" x14ac:dyDescent="0.4">
      <c r="A22" s="7" t="s">
        <v>23</v>
      </c>
      <c r="B22" t="s">
        <v>24</v>
      </c>
    </row>
  </sheetData>
  <mergeCells count="5">
    <mergeCell ref="A10:F10"/>
    <mergeCell ref="A2:H2"/>
    <mergeCell ref="A18:F18"/>
    <mergeCell ref="A4:F4"/>
    <mergeCell ref="A1:H1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tabSelected="1" workbookViewId="0">
      <pane ySplit="5" topLeftCell="A6" activePane="bottomLeft" state="frozen"/>
      <selection pane="bottomLeft" sqref="A1:H1"/>
    </sheetView>
  </sheetViews>
  <sheetFormatPr defaultRowHeight="14.6" x14ac:dyDescent="0.4"/>
  <cols>
    <col min="1" max="1" width="28" customWidth="1"/>
    <col min="2" max="3" width="16" customWidth="1"/>
    <col min="4" max="4" width="60" customWidth="1"/>
    <col min="5" max="5" width="18" customWidth="1"/>
  </cols>
  <sheetData>
    <row r="1" spans="1:8" ht="24" customHeight="1" x14ac:dyDescent="0.4">
      <c r="A1" s="36" t="s">
        <v>25</v>
      </c>
      <c r="B1" s="35"/>
      <c r="C1" s="35"/>
      <c r="D1" s="35"/>
      <c r="E1" s="35"/>
      <c r="F1" s="35"/>
      <c r="G1" s="35"/>
      <c r="H1" s="35"/>
    </row>
    <row r="2" spans="1:8" ht="18" customHeight="1" x14ac:dyDescent="0.4">
      <c r="A2" s="34" t="s">
        <v>26</v>
      </c>
      <c r="B2" s="35"/>
      <c r="C2" s="35"/>
      <c r="D2" s="35"/>
      <c r="E2" s="35"/>
      <c r="F2" s="35"/>
      <c r="G2" s="35"/>
      <c r="H2" s="35"/>
    </row>
    <row r="4" spans="1:8" ht="16.75" x14ac:dyDescent="0.45">
      <c r="A4" s="32" t="s">
        <v>27</v>
      </c>
      <c r="B4" s="33"/>
      <c r="C4" s="33"/>
      <c r="D4" s="33"/>
      <c r="E4" s="33"/>
    </row>
    <row r="5" spans="1:8" ht="15.9" x14ac:dyDescent="0.4">
      <c r="A5" s="8" t="s">
        <v>28</v>
      </c>
      <c r="B5" s="8" t="s">
        <v>29</v>
      </c>
      <c r="C5" s="8" t="s">
        <v>30</v>
      </c>
      <c r="D5" s="8" t="s">
        <v>31</v>
      </c>
      <c r="E5" s="8" t="s">
        <v>32</v>
      </c>
      <c r="F5" s="9"/>
      <c r="G5" s="9"/>
      <c r="H5" s="9"/>
    </row>
    <row r="6" spans="1:8" ht="43.75" x14ac:dyDescent="0.4">
      <c r="A6" s="10" t="s">
        <v>33</v>
      </c>
      <c r="B6" s="11">
        <v>0.7</v>
      </c>
      <c r="C6" s="12" t="s">
        <v>34</v>
      </c>
      <c r="D6" s="13" t="s">
        <v>35</v>
      </c>
      <c r="E6" s="14" t="s">
        <v>36</v>
      </c>
      <c r="F6" s="9"/>
      <c r="G6" s="9"/>
      <c r="H6" s="9"/>
    </row>
    <row r="7" spans="1:8" x14ac:dyDescent="0.4">
      <c r="A7" s="10" t="s">
        <v>37</v>
      </c>
      <c r="B7" s="11">
        <v>0.15</v>
      </c>
      <c r="C7" s="12" t="s">
        <v>38</v>
      </c>
      <c r="D7" s="13" t="s">
        <v>39</v>
      </c>
      <c r="E7" s="14" t="s">
        <v>36</v>
      </c>
      <c r="F7" s="9"/>
      <c r="G7" s="9"/>
      <c r="H7" s="9"/>
    </row>
    <row r="8" spans="1:8" ht="43.75" x14ac:dyDescent="0.4">
      <c r="A8" s="10" t="s">
        <v>40</v>
      </c>
      <c r="B8" s="11">
        <v>4</v>
      </c>
      <c r="C8" s="12" t="s">
        <v>41</v>
      </c>
      <c r="D8" s="13" t="s">
        <v>42</v>
      </c>
      <c r="E8" s="14" t="s">
        <v>36</v>
      </c>
      <c r="F8" s="9"/>
      <c r="G8" s="9"/>
      <c r="H8" s="9"/>
    </row>
    <row r="9" spans="1:8" ht="29.15" x14ac:dyDescent="0.4">
      <c r="A9" s="10" t="s">
        <v>43</v>
      </c>
      <c r="B9" s="15">
        <v>3000</v>
      </c>
      <c r="C9" s="12" t="s">
        <v>44</v>
      </c>
      <c r="D9" s="13" t="s">
        <v>45</v>
      </c>
      <c r="E9" s="14" t="s">
        <v>36</v>
      </c>
      <c r="F9" s="9"/>
      <c r="G9" s="9"/>
      <c r="H9" s="9"/>
    </row>
    <row r="10" spans="1:8" ht="29.15" x14ac:dyDescent="0.4">
      <c r="A10" s="10" t="s">
        <v>46</v>
      </c>
      <c r="B10" s="16">
        <v>0</v>
      </c>
      <c r="C10" s="12" t="s">
        <v>47</v>
      </c>
      <c r="D10" s="13" t="s">
        <v>48</v>
      </c>
      <c r="E10" s="17" t="s">
        <v>49</v>
      </c>
      <c r="F10" s="9"/>
      <c r="G10" s="9"/>
      <c r="H10" s="9"/>
    </row>
    <row r="11" spans="1:8" ht="29.15" x14ac:dyDescent="0.4">
      <c r="A11" s="10" t="s">
        <v>50</v>
      </c>
      <c r="B11" s="16">
        <v>0</v>
      </c>
      <c r="C11" s="12" t="s">
        <v>51</v>
      </c>
      <c r="D11" s="13" t="s">
        <v>48</v>
      </c>
      <c r="E11" s="17" t="s">
        <v>49</v>
      </c>
      <c r="F11" s="9"/>
      <c r="G11" s="9"/>
      <c r="H11" s="9"/>
    </row>
    <row r="12" spans="1:8" ht="29.15" x14ac:dyDescent="0.4">
      <c r="A12" s="10" t="s">
        <v>52</v>
      </c>
      <c r="B12" s="16">
        <v>0</v>
      </c>
      <c r="C12" s="12" t="s">
        <v>51</v>
      </c>
      <c r="D12" s="13" t="s">
        <v>48</v>
      </c>
      <c r="E12" s="17" t="s">
        <v>49</v>
      </c>
      <c r="F12" s="9"/>
      <c r="G12" s="9"/>
      <c r="H12" s="9"/>
    </row>
  </sheetData>
  <mergeCells count="3">
    <mergeCell ref="A4:E4"/>
    <mergeCell ref="A2:H2"/>
    <mergeCell ref="A1:H1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pane ySplit="4" topLeftCell="A5" activePane="bottomLeft" state="frozen"/>
      <selection pane="bottomLeft" sqref="A1:H1"/>
    </sheetView>
  </sheetViews>
  <sheetFormatPr defaultRowHeight="14.6" x14ac:dyDescent="0.4"/>
  <cols>
    <col min="1" max="1" width="22" customWidth="1"/>
    <col min="2" max="2" width="18" customWidth="1"/>
    <col min="3" max="4" width="22" customWidth="1"/>
    <col min="5" max="5" width="24" customWidth="1"/>
    <col min="6" max="6" width="18" customWidth="1"/>
    <col min="7" max="7" width="30" customWidth="1"/>
  </cols>
  <sheetData>
    <row r="1" spans="1:8" ht="24" customHeight="1" x14ac:dyDescent="0.4">
      <c r="A1" s="36" t="s">
        <v>53</v>
      </c>
      <c r="B1" s="35"/>
      <c r="C1" s="35"/>
      <c r="D1" s="35"/>
      <c r="E1" s="35"/>
      <c r="F1" s="35"/>
      <c r="G1" s="35"/>
      <c r="H1" s="35"/>
    </row>
    <row r="2" spans="1:8" ht="18" customHeight="1" x14ac:dyDescent="0.4">
      <c r="A2" s="34" t="s">
        <v>54</v>
      </c>
      <c r="B2" s="35"/>
      <c r="C2" s="35"/>
      <c r="D2" s="35"/>
      <c r="E2" s="35"/>
      <c r="F2" s="35"/>
      <c r="G2" s="35"/>
      <c r="H2" s="35"/>
    </row>
    <row r="4" spans="1:8" ht="31.75" x14ac:dyDescent="0.4">
      <c r="A4" s="8" t="s">
        <v>55</v>
      </c>
      <c r="B4" s="8" t="s">
        <v>56</v>
      </c>
      <c r="C4" s="8" t="s">
        <v>57</v>
      </c>
      <c r="D4" s="8" t="s">
        <v>58</v>
      </c>
      <c r="E4" s="8" t="s">
        <v>59</v>
      </c>
      <c r="F4" s="8" t="s">
        <v>60</v>
      </c>
      <c r="G4" s="8" t="s">
        <v>61</v>
      </c>
    </row>
    <row r="5" spans="1:8" ht="29.15" x14ac:dyDescent="0.4">
      <c r="A5" s="18" t="s">
        <v>62</v>
      </c>
      <c r="B5" s="19" t="s">
        <v>63</v>
      </c>
      <c r="C5" s="19" t="s">
        <v>64</v>
      </c>
      <c r="D5" s="20">
        <v>3000</v>
      </c>
      <c r="E5" s="21">
        <v>4</v>
      </c>
      <c r="F5" s="22"/>
      <c r="G5" s="13" t="s">
        <v>65</v>
      </c>
      <c r="H5" s="9"/>
    </row>
    <row r="6" spans="1:8" ht="29.15" x14ac:dyDescent="0.4">
      <c r="A6" s="18" t="s">
        <v>66</v>
      </c>
      <c r="B6" s="19" t="s">
        <v>63</v>
      </c>
      <c r="C6" s="19" t="s">
        <v>64</v>
      </c>
      <c r="D6" s="20">
        <v>3000</v>
      </c>
      <c r="E6" s="21">
        <v>4</v>
      </c>
      <c r="F6" s="22"/>
      <c r="G6" s="13" t="s">
        <v>65</v>
      </c>
      <c r="H6" s="9"/>
    </row>
    <row r="7" spans="1:8" ht="29.15" x14ac:dyDescent="0.4">
      <c r="A7" s="18" t="s">
        <v>67</v>
      </c>
      <c r="B7" s="19" t="s">
        <v>63</v>
      </c>
      <c r="C7" s="19" t="s">
        <v>64</v>
      </c>
      <c r="D7" s="20">
        <v>3000</v>
      </c>
      <c r="E7" s="21">
        <v>4</v>
      </c>
      <c r="F7" s="22"/>
      <c r="G7" s="13" t="s">
        <v>65</v>
      </c>
      <c r="H7" s="9"/>
    </row>
    <row r="8" spans="1:8" ht="29.15" x14ac:dyDescent="0.4">
      <c r="A8" s="18" t="s">
        <v>68</v>
      </c>
      <c r="B8" s="19" t="s">
        <v>63</v>
      </c>
      <c r="C8" s="19" t="s">
        <v>64</v>
      </c>
      <c r="D8" s="20">
        <v>3000</v>
      </c>
      <c r="E8" s="21">
        <v>4</v>
      </c>
      <c r="F8" s="22"/>
      <c r="G8" s="13" t="s">
        <v>65</v>
      </c>
      <c r="H8" s="9"/>
    </row>
    <row r="9" spans="1:8" ht="29.15" x14ac:dyDescent="0.4">
      <c r="A9" s="18" t="s">
        <v>69</v>
      </c>
      <c r="B9" s="19" t="s">
        <v>64</v>
      </c>
      <c r="C9" s="19" t="s">
        <v>64</v>
      </c>
      <c r="D9" s="20">
        <f>Controls!B9</f>
        <v>3000</v>
      </c>
      <c r="E9" s="21">
        <f>Controls!B8</f>
        <v>4</v>
      </c>
      <c r="F9" s="22"/>
      <c r="G9" s="13" t="s">
        <v>70</v>
      </c>
      <c r="H9" s="9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4"/>
  <sheetViews>
    <sheetView showGridLines="0" workbookViewId="0">
      <pane ySplit="4" topLeftCell="A5" activePane="bottomLeft" state="frozen"/>
      <selection pane="bottomLeft" sqref="A1:H1"/>
    </sheetView>
  </sheetViews>
  <sheetFormatPr defaultRowHeight="14.6" x14ac:dyDescent="0.4"/>
  <cols>
    <col min="1" max="1" width="20" customWidth="1"/>
    <col min="2" max="2" width="18" customWidth="1"/>
    <col min="3" max="4" width="16" customWidth="1"/>
    <col min="5" max="6" width="13" customWidth="1"/>
    <col min="7" max="8" width="15" customWidth="1"/>
    <col min="9" max="9" width="11" customWidth="1"/>
    <col min="10" max="11" width="12" customWidth="1"/>
    <col min="12" max="12" width="14" customWidth="1"/>
    <col min="13" max="13" width="16" customWidth="1"/>
    <col min="14" max="14" width="12" customWidth="1"/>
    <col min="15" max="16" width="14" customWidth="1"/>
    <col min="17" max="17" width="16" customWidth="1"/>
    <col min="18" max="18" width="26" customWidth="1"/>
  </cols>
  <sheetData>
    <row r="1" spans="1:17" ht="24" customHeight="1" x14ac:dyDescent="0.4">
      <c r="A1" s="36" t="s">
        <v>71</v>
      </c>
      <c r="B1" s="35"/>
      <c r="C1" s="35"/>
      <c r="D1" s="35"/>
      <c r="E1" s="35"/>
      <c r="F1" s="35"/>
      <c r="G1" s="35"/>
      <c r="H1" s="35"/>
    </row>
    <row r="2" spans="1:17" ht="18" customHeight="1" x14ac:dyDescent="0.4">
      <c r="A2" s="34" t="s">
        <v>72</v>
      </c>
      <c r="B2" s="35"/>
      <c r="C2" s="35"/>
      <c r="D2" s="35"/>
      <c r="E2" s="35"/>
      <c r="F2" s="35"/>
      <c r="G2" s="35"/>
      <c r="H2" s="35"/>
    </row>
    <row r="4" spans="1:17" ht="31.75" x14ac:dyDescent="0.4">
      <c r="A4" s="8" t="s">
        <v>73</v>
      </c>
      <c r="B4" s="8" t="s">
        <v>55</v>
      </c>
      <c r="C4" s="8" t="s">
        <v>56</v>
      </c>
      <c r="D4" s="8" t="s">
        <v>74</v>
      </c>
      <c r="E4" s="8" t="s">
        <v>75</v>
      </c>
      <c r="F4" s="8" t="s">
        <v>76</v>
      </c>
      <c r="G4" s="8" t="s">
        <v>77</v>
      </c>
      <c r="H4" s="8" t="s">
        <v>78</v>
      </c>
      <c r="I4" s="8" t="s">
        <v>79</v>
      </c>
      <c r="J4" s="8" t="s">
        <v>80</v>
      </c>
      <c r="K4" s="8" t="s">
        <v>59</v>
      </c>
      <c r="L4" s="8" t="s">
        <v>81</v>
      </c>
      <c r="M4" s="8" t="s">
        <v>82</v>
      </c>
      <c r="N4" s="8" t="s">
        <v>83</v>
      </c>
      <c r="O4" s="8" t="s">
        <v>84</v>
      </c>
      <c r="P4" s="8" t="s">
        <v>85</v>
      </c>
      <c r="Q4" s="8" t="s">
        <v>61</v>
      </c>
    </row>
    <row r="5" spans="1:17" ht="29.15" x14ac:dyDescent="0.4">
      <c r="A5" s="18" t="s">
        <v>86</v>
      </c>
      <c r="B5" s="23" t="s">
        <v>62</v>
      </c>
      <c r="C5" s="23" t="s">
        <v>87</v>
      </c>
      <c r="D5" s="23" t="s">
        <v>88</v>
      </c>
      <c r="E5" s="24">
        <v>25</v>
      </c>
      <c r="F5" s="24">
        <v>60</v>
      </c>
      <c r="G5" s="24">
        <v>1800</v>
      </c>
      <c r="H5" s="24">
        <v>650</v>
      </c>
      <c r="I5" s="25">
        <v>0.2</v>
      </c>
      <c r="J5" s="26">
        <f>IF(F5="","",F5*Controls!$B$6)</f>
        <v>42</v>
      </c>
      <c r="K5" s="27">
        <f>IFERROR(_xlfn.SINGLE(_xlfn.XLOOKUP(B5, Model_Lookups!$A$5:$A$9, Model_Lookups!$E$5:$E$9, Controls!$B$8)), Controls!$B$8)</f>
        <v>4</v>
      </c>
      <c r="L5" s="26">
        <f>IFERROR(_xlfn.SINGLE(_xlfn.XLOOKUP(B5, Model_Lookups!$A$5:$A$9, Model_Lookups!$D$5:$D$9, Controls!$B$9)), Controls!$B$9)</f>
        <v>3000</v>
      </c>
      <c r="M5" s="26">
        <f t="shared" ref="M5:M24" si="0">IF(J5="","",J5*(G5*(1-I5)+H5*K5))</f>
        <v>169680</v>
      </c>
      <c r="N5" s="26">
        <f>IF(OR(L5="",M5=""),"",ROUNDUP((M5/L5)*(1+Controls!$B$7),0))</f>
        <v>66</v>
      </c>
      <c r="O5" s="26">
        <f>IFERROR(_xlfn.SINGLE(_xlfn.XLOOKUP(B5, Model_Lookups!$A$5:$A$9, Model_Lookups!$F$5:$F$9, "")), "")</f>
        <v>0</v>
      </c>
      <c r="P5" s="26">
        <f t="shared" ref="P5:P24" si="1">IF(N5="","",MAX(N5,IF(O5="",0,O5)))</f>
        <v>66</v>
      </c>
      <c r="Q5" s="19" t="s">
        <v>89</v>
      </c>
    </row>
    <row r="6" spans="1:17" ht="29.15" x14ac:dyDescent="0.4">
      <c r="A6" s="18" t="s">
        <v>90</v>
      </c>
      <c r="B6" s="23" t="s">
        <v>66</v>
      </c>
      <c r="C6" s="23" t="s">
        <v>91</v>
      </c>
      <c r="D6" s="23" t="s">
        <v>91</v>
      </c>
      <c r="E6" s="24">
        <v>15</v>
      </c>
      <c r="F6" s="24">
        <v>40</v>
      </c>
      <c r="G6" s="24">
        <v>2200</v>
      </c>
      <c r="H6" s="24">
        <v>800</v>
      </c>
      <c r="I6" s="25">
        <v>0.1</v>
      </c>
      <c r="J6" s="26">
        <f>IF(F6="","",F6*Controls!$B$6)</f>
        <v>28</v>
      </c>
      <c r="K6" s="27">
        <f>IFERROR(_xlfn.SINGLE(_xlfn.XLOOKUP(B6, Model_Lookups!$A$5:$A$9, Model_Lookups!$E$5:$E$9, Controls!$B$8)), Controls!$B$8)</f>
        <v>4</v>
      </c>
      <c r="L6" s="26">
        <f>IFERROR(_xlfn.SINGLE(_xlfn.XLOOKUP(B6, Model_Lookups!$A$5:$A$9, Model_Lookups!$D$5:$D$9, Controls!$B$9)), Controls!$B$9)</f>
        <v>3000</v>
      </c>
      <c r="M6" s="26">
        <f t="shared" si="0"/>
        <v>145040</v>
      </c>
      <c r="N6" s="26">
        <f>IF(OR(L6="",M6=""),"",ROUNDUP((M6/L6)*(1+Controls!$B$7),0))</f>
        <v>56</v>
      </c>
      <c r="O6" s="26">
        <f>IFERROR(_xlfn.SINGLE(_xlfn.XLOOKUP(B6, Model_Lookups!$A$5:$A$9, Model_Lookups!$F$5:$F$9, "")), "")</f>
        <v>0</v>
      </c>
      <c r="P6" s="26">
        <f t="shared" si="1"/>
        <v>56</v>
      </c>
      <c r="Q6" s="19" t="s">
        <v>89</v>
      </c>
    </row>
    <row r="7" spans="1:17" x14ac:dyDescent="0.4">
      <c r="A7" s="18"/>
      <c r="B7" s="23"/>
      <c r="C7" s="23"/>
      <c r="D7" s="23"/>
      <c r="E7" s="24"/>
      <c r="F7" s="24"/>
      <c r="G7" s="24"/>
      <c r="H7" s="24"/>
      <c r="I7" s="25"/>
      <c r="J7" s="26" t="str">
        <f>IF(F7="","",F7*Controls!$B$6)</f>
        <v/>
      </c>
      <c r="K7" s="27">
        <f>IFERROR(_xlfn.SINGLE(_xlfn.XLOOKUP(B7, Model_Lookups!$A$5:$A$9, Model_Lookups!$E$5:$E$9, Controls!$B$8)), Controls!$B$8)</f>
        <v>4</v>
      </c>
      <c r="L7" s="26">
        <f>IFERROR(_xlfn.SINGLE(_xlfn.XLOOKUP(B7, Model_Lookups!$A$5:$A$9, Model_Lookups!$D$5:$D$9, Controls!$B$9)), Controls!$B$9)</f>
        <v>3000</v>
      </c>
      <c r="M7" s="26" t="str">
        <f t="shared" si="0"/>
        <v/>
      </c>
      <c r="N7" s="26" t="str">
        <f>IF(OR(L7="",M7=""),"",ROUNDUP((M7/L7)*(1+Controls!$B$7),0))</f>
        <v/>
      </c>
      <c r="O7" s="26" t="str">
        <f>IFERROR(_xlfn.SINGLE(_xlfn.XLOOKUP(B7, Model_Lookups!$A$5:$A$9, Model_Lookups!$F$5:$F$9, "")), "")</f>
        <v/>
      </c>
      <c r="P7" s="26" t="str">
        <f t="shared" si="1"/>
        <v/>
      </c>
      <c r="Q7" s="19"/>
    </row>
    <row r="8" spans="1:17" x14ac:dyDescent="0.4">
      <c r="A8" s="18"/>
      <c r="B8" s="23"/>
      <c r="C8" s="23"/>
      <c r="D8" s="23"/>
      <c r="E8" s="24"/>
      <c r="F8" s="24"/>
      <c r="G8" s="24"/>
      <c r="H8" s="24"/>
      <c r="I8" s="25"/>
      <c r="J8" s="26" t="str">
        <f>IF(F8="","",F8*Controls!$B$6)</f>
        <v/>
      </c>
      <c r="K8" s="27">
        <f>IFERROR(_xlfn.SINGLE(_xlfn.XLOOKUP(B8, Model_Lookups!$A$5:$A$9, Model_Lookups!$E$5:$E$9, Controls!$B$8)), Controls!$B$8)</f>
        <v>4</v>
      </c>
      <c r="L8" s="26">
        <f>IFERROR(_xlfn.SINGLE(_xlfn.XLOOKUP(B8, Model_Lookups!$A$5:$A$9, Model_Lookups!$D$5:$D$9, Controls!$B$9)), Controls!$B$9)</f>
        <v>3000</v>
      </c>
      <c r="M8" s="26" t="str">
        <f t="shared" si="0"/>
        <v/>
      </c>
      <c r="N8" s="26" t="str">
        <f>IF(OR(L8="",M8=""),"",ROUNDUP((M8/L8)*(1+Controls!$B$7),0))</f>
        <v/>
      </c>
      <c r="O8" s="26" t="str">
        <f>IFERROR(_xlfn.SINGLE(_xlfn.XLOOKUP(B8, Model_Lookups!$A$5:$A$9, Model_Lookups!$F$5:$F$9, "")), "")</f>
        <v/>
      </c>
      <c r="P8" s="26" t="str">
        <f t="shared" si="1"/>
        <v/>
      </c>
      <c r="Q8" s="19"/>
    </row>
    <row r="9" spans="1:17" x14ac:dyDescent="0.4">
      <c r="A9" s="18"/>
      <c r="B9" s="23"/>
      <c r="C9" s="23"/>
      <c r="D9" s="23"/>
      <c r="E9" s="24"/>
      <c r="F9" s="24"/>
      <c r="G9" s="24"/>
      <c r="H9" s="24"/>
      <c r="I9" s="25"/>
      <c r="J9" s="26" t="str">
        <f>IF(F9="","",F9*Controls!$B$6)</f>
        <v/>
      </c>
      <c r="K9" s="27">
        <f>IFERROR(_xlfn.SINGLE(_xlfn.XLOOKUP(B9, Model_Lookups!$A$5:$A$9, Model_Lookups!$E$5:$E$9, Controls!$B$8)), Controls!$B$8)</f>
        <v>4</v>
      </c>
      <c r="L9" s="26">
        <f>IFERROR(_xlfn.SINGLE(_xlfn.XLOOKUP(B9, Model_Lookups!$A$5:$A$9, Model_Lookups!$D$5:$D$9, Controls!$B$9)), Controls!$B$9)</f>
        <v>3000</v>
      </c>
      <c r="M9" s="26" t="str">
        <f t="shared" si="0"/>
        <v/>
      </c>
      <c r="N9" s="26" t="str">
        <f>IF(OR(L9="",M9=""),"",ROUNDUP((M9/L9)*(1+Controls!$B$7),0))</f>
        <v/>
      </c>
      <c r="O9" s="26" t="str">
        <f>IFERROR(_xlfn.SINGLE(_xlfn.XLOOKUP(B9, Model_Lookups!$A$5:$A$9, Model_Lookups!$F$5:$F$9, "")), "")</f>
        <v/>
      </c>
      <c r="P9" s="26" t="str">
        <f t="shared" si="1"/>
        <v/>
      </c>
      <c r="Q9" s="19"/>
    </row>
    <row r="10" spans="1:17" x14ac:dyDescent="0.4">
      <c r="A10" s="18"/>
      <c r="B10" s="23"/>
      <c r="C10" s="23"/>
      <c r="D10" s="23"/>
      <c r="E10" s="24"/>
      <c r="F10" s="24"/>
      <c r="G10" s="24"/>
      <c r="H10" s="24"/>
      <c r="I10" s="25"/>
      <c r="J10" s="26" t="str">
        <f>IF(F10="","",F10*Controls!$B$6)</f>
        <v/>
      </c>
      <c r="K10" s="27">
        <f>IFERROR(_xlfn.SINGLE(_xlfn.XLOOKUP(B10, Model_Lookups!$A$5:$A$9, Model_Lookups!$E$5:$E$9, Controls!$B$8)), Controls!$B$8)</f>
        <v>4</v>
      </c>
      <c r="L10" s="26">
        <f>IFERROR(_xlfn.SINGLE(_xlfn.XLOOKUP(B10, Model_Lookups!$A$5:$A$9, Model_Lookups!$D$5:$D$9, Controls!$B$9)), Controls!$B$9)</f>
        <v>3000</v>
      </c>
      <c r="M10" s="26" t="str">
        <f t="shared" si="0"/>
        <v/>
      </c>
      <c r="N10" s="26" t="str">
        <f>IF(OR(L10="",M10=""),"",ROUNDUP((M10/L10)*(1+Controls!$B$7),0))</f>
        <v/>
      </c>
      <c r="O10" s="26" t="str">
        <f>IFERROR(_xlfn.SINGLE(_xlfn.XLOOKUP(B10, Model_Lookups!$A$5:$A$9, Model_Lookups!$F$5:$F$9, "")), "")</f>
        <v/>
      </c>
      <c r="P10" s="26" t="str">
        <f t="shared" si="1"/>
        <v/>
      </c>
      <c r="Q10" s="19"/>
    </row>
    <row r="11" spans="1:17" x14ac:dyDescent="0.4">
      <c r="A11" s="18"/>
      <c r="B11" s="23"/>
      <c r="C11" s="23"/>
      <c r="D11" s="23"/>
      <c r="E11" s="24"/>
      <c r="F11" s="24"/>
      <c r="G11" s="24"/>
      <c r="H11" s="24"/>
      <c r="I11" s="25"/>
      <c r="J11" s="26" t="str">
        <f>IF(F11="","",F11*Controls!$B$6)</f>
        <v/>
      </c>
      <c r="K11" s="27">
        <f>IFERROR(_xlfn.SINGLE(_xlfn.XLOOKUP(B11, Model_Lookups!$A$5:$A$9, Model_Lookups!$E$5:$E$9, Controls!$B$8)), Controls!$B$8)</f>
        <v>4</v>
      </c>
      <c r="L11" s="26">
        <f>IFERROR(_xlfn.SINGLE(_xlfn.XLOOKUP(B11, Model_Lookups!$A$5:$A$9, Model_Lookups!$D$5:$D$9, Controls!$B$9)), Controls!$B$9)</f>
        <v>3000</v>
      </c>
      <c r="M11" s="26" t="str">
        <f t="shared" si="0"/>
        <v/>
      </c>
      <c r="N11" s="26" t="str">
        <f>IF(OR(L11="",M11=""),"",ROUNDUP((M11/L11)*(1+Controls!$B$7),0))</f>
        <v/>
      </c>
      <c r="O11" s="26" t="str">
        <f>IFERROR(_xlfn.SINGLE(_xlfn.XLOOKUP(B11, Model_Lookups!$A$5:$A$9, Model_Lookups!$F$5:$F$9, "")), "")</f>
        <v/>
      </c>
      <c r="P11" s="26" t="str">
        <f t="shared" si="1"/>
        <v/>
      </c>
      <c r="Q11" s="19"/>
    </row>
    <row r="12" spans="1:17" x14ac:dyDescent="0.4">
      <c r="A12" s="18"/>
      <c r="B12" s="23"/>
      <c r="C12" s="23"/>
      <c r="D12" s="23"/>
      <c r="E12" s="24"/>
      <c r="F12" s="24"/>
      <c r="G12" s="24"/>
      <c r="H12" s="24"/>
      <c r="I12" s="25"/>
      <c r="J12" s="26" t="str">
        <f>IF(F12="","",F12*Controls!$B$6)</f>
        <v/>
      </c>
      <c r="K12" s="27">
        <f>IFERROR(_xlfn.SINGLE(_xlfn.XLOOKUP(B12, Model_Lookups!$A$5:$A$9, Model_Lookups!$E$5:$E$9, Controls!$B$8)), Controls!$B$8)</f>
        <v>4</v>
      </c>
      <c r="L12" s="26">
        <f>IFERROR(_xlfn.SINGLE(_xlfn.XLOOKUP(B12, Model_Lookups!$A$5:$A$9, Model_Lookups!$D$5:$D$9, Controls!$B$9)), Controls!$B$9)</f>
        <v>3000</v>
      </c>
      <c r="M12" s="26" t="str">
        <f t="shared" si="0"/>
        <v/>
      </c>
      <c r="N12" s="26" t="str">
        <f>IF(OR(L12="",M12=""),"",ROUNDUP((M12/L12)*(1+Controls!$B$7),0))</f>
        <v/>
      </c>
      <c r="O12" s="26" t="str">
        <f>IFERROR(_xlfn.SINGLE(_xlfn.XLOOKUP(B12, Model_Lookups!$A$5:$A$9, Model_Lookups!$F$5:$F$9, "")), "")</f>
        <v/>
      </c>
      <c r="P12" s="26" t="str">
        <f t="shared" si="1"/>
        <v/>
      </c>
      <c r="Q12" s="19"/>
    </row>
    <row r="13" spans="1:17" x14ac:dyDescent="0.4">
      <c r="A13" s="18"/>
      <c r="B13" s="23"/>
      <c r="C13" s="23"/>
      <c r="D13" s="23"/>
      <c r="E13" s="24"/>
      <c r="F13" s="24"/>
      <c r="G13" s="24"/>
      <c r="H13" s="24"/>
      <c r="I13" s="25"/>
      <c r="J13" s="26" t="str">
        <f>IF(F13="","",F13*Controls!$B$6)</f>
        <v/>
      </c>
      <c r="K13" s="27">
        <f>IFERROR(_xlfn.SINGLE(_xlfn.XLOOKUP(B13, Model_Lookups!$A$5:$A$9, Model_Lookups!$E$5:$E$9, Controls!$B$8)), Controls!$B$8)</f>
        <v>4</v>
      </c>
      <c r="L13" s="26">
        <f>IFERROR(_xlfn.SINGLE(_xlfn.XLOOKUP(B13, Model_Lookups!$A$5:$A$9, Model_Lookups!$D$5:$D$9, Controls!$B$9)), Controls!$B$9)</f>
        <v>3000</v>
      </c>
      <c r="M13" s="26" t="str">
        <f t="shared" si="0"/>
        <v/>
      </c>
      <c r="N13" s="26" t="str">
        <f>IF(OR(L13="",M13=""),"",ROUNDUP((M13/L13)*(1+Controls!$B$7),0))</f>
        <v/>
      </c>
      <c r="O13" s="26" t="str">
        <f>IFERROR(_xlfn.SINGLE(_xlfn.XLOOKUP(B13, Model_Lookups!$A$5:$A$9, Model_Lookups!$F$5:$F$9, "")), "")</f>
        <v/>
      </c>
      <c r="P13" s="26" t="str">
        <f t="shared" si="1"/>
        <v/>
      </c>
      <c r="Q13" s="19"/>
    </row>
    <row r="14" spans="1:17" x14ac:dyDescent="0.4">
      <c r="A14" s="18"/>
      <c r="B14" s="23"/>
      <c r="C14" s="23"/>
      <c r="D14" s="23"/>
      <c r="E14" s="24"/>
      <c r="F14" s="24"/>
      <c r="G14" s="24"/>
      <c r="H14" s="24"/>
      <c r="I14" s="25"/>
      <c r="J14" s="26" t="str">
        <f>IF(F14="","",F14*Controls!$B$6)</f>
        <v/>
      </c>
      <c r="K14" s="27">
        <f>IFERROR(_xlfn.SINGLE(_xlfn.XLOOKUP(B14, Model_Lookups!$A$5:$A$9, Model_Lookups!$E$5:$E$9, Controls!$B$8)), Controls!$B$8)</f>
        <v>4</v>
      </c>
      <c r="L14" s="26">
        <f>IFERROR(_xlfn.SINGLE(_xlfn.XLOOKUP(B14, Model_Lookups!$A$5:$A$9, Model_Lookups!$D$5:$D$9, Controls!$B$9)), Controls!$B$9)</f>
        <v>3000</v>
      </c>
      <c r="M14" s="26" t="str">
        <f t="shared" si="0"/>
        <v/>
      </c>
      <c r="N14" s="26" t="str">
        <f>IF(OR(L14="",M14=""),"",ROUNDUP((M14/L14)*(1+Controls!$B$7),0))</f>
        <v/>
      </c>
      <c r="O14" s="26" t="str">
        <f>IFERROR(_xlfn.SINGLE(_xlfn.XLOOKUP(B14, Model_Lookups!$A$5:$A$9, Model_Lookups!$F$5:$F$9, "")), "")</f>
        <v/>
      </c>
      <c r="P14" s="26" t="str">
        <f t="shared" si="1"/>
        <v/>
      </c>
      <c r="Q14" s="19"/>
    </row>
    <row r="15" spans="1:17" x14ac:dyDescent="0.4">
      <c r="A15" s="18"/>
      <c r="B15" s="23"/>
      <c r="C15" s="23"/>
      <c r="D15" s="23"/>
      <c r="E15" s="24"/>
      <c r="F15" s="24"/>
      <c r="G15" s="24"/>
      <c r="H15" s="24"/>
      <c r="I15" s="25"/>
      <c r="J15" s="26" t="str">
        <f>IF(F15="","",F15*Controls!$B$6)</f>
        <v/>
      </c>
      <c r="K15" s="27">
        <f>IFERROR(_xlfn.SINGLE(_xlfn.XLOOKUP(B15, Model_Lookups!$A$5:$A$9, Model_Lookups!$E$5:$E$9, Controls!$B$8)), Controls!$B$8)</f>
        <v>4</v>
      </c>
      <c r="L15" s="26">
        <f>IFERROR(_xlfn.SINGLE(_xlfn.XLOOKUP(B15, Model_Lookups!$A$5:$A$9, Model_Lookups!$D$5:$D$9, Controls!$B$9)), Controls!$B$9)</f>
        <v>3000</v>
      </c>
      <c r="M15" s="26" t="str">
        <f t="shared" si="0"/>
        <v/>
      </c>
      <c r="N15" s="26" t="str">
        <f>IF(OR(L15="",M15=""),"",ROUNDUP((M15/L15)*(1+Controls!$B$7),0))</f>
        <v/>
      </c>
      <c r="O15" s="26" t="str">
        <f>IFERROR(_xlfn.SINGLE(_xlfn.XLOOKUP(B15, Model_Lookups!$A$5:$A$9, Model_Lookups!$F$5:$F$9, "")), "")</f>
        <v/>
      </c>
      <c r="P15" s="26" t="str">
        <f t="shared" si="1"/>
        <v/>
      </c>
      <c r="Q15" s="19"/>
    </row>
    <row r="16" spans="1:17" x14ac:dyDescent="0.4">
      <c r="A16" s="18"/>
      <c r="B16" s="23"/>
      <c r="C16" s="23"/>
      <c r="D16" s="23"/>
      <c r="E16" s="24"/>
      <c r="F16" s="24"/>
      <c r="G16" s="24"/>
      <c r="H16" s="24"/>
      <c r="I16" s="25"/>
      <c r="J16" s="26" t="str">
        <f>IF(F16="","",F16*Controls!$B$6)</f>
        <v/>
      </c>
      <c r="K16" s="27">
        <f>IFERROR(_xlfn.SINGLE(_xlfn.XLOOKUP(B16, Model_Lookups!$A$5:$A$9, Model_Lookups!$E$5:$E$9, Controls!$B$8)), Controls!$B$8)</f>
        <v>4</v>
      </c>
      <c r="L16" s="26">
        <f>IFERROR(_xlfn.SINGLE(_xlfn.XLOOKUP(B16, Model_Lookups!$A$5:$A$9, Model_Lookups!$D$5:$D$9, Controls!$B$9)), Controls!$B$9)</f>
        <v>3000</v>
      </c>
      <c r="M16" s="26" t="str">
        <f t="shared" si="0"/>
        <v/>
      </c>
      <c r="N16" s="26" t="str">
        <f>IF(OR(L16="",M16=""),"",ROUNDUP((M16/L16)*(1+Controls!$B$7),0))</f>
        <v/>
      </c>
      <c r="O16" s="26" t="str">
        <f>IFERROR(_xlfn.SINGLE(_xlfn.XLOOKUP(B16, Model_Lookups!$A$5:$A$9, Model_Lookups!$F$5:$F$9, "")), "")</f>
        <v/>
      </c>
      <c r="P16" s="26" t="str">
        <f t="shared" si="1"/>
        <v/>
      </c>
      <c r="Q16" s="19"/>
    </row>
    <row r="17" spans="1:17" x14ac:dyDescent="0.4">
      <c r="A17" s="18"/>
      <c r="B17" s="23"/>
      <c r="C17" s="23"/>
      <c r="D17" s="23"/>
      <c r="E17" s="24"/>
      <c r="F17" s="24"/>
      <c r="G17" s="24"/>
      <c r="H17" s="24"/>
      <c r="I17" s="25"/>
      <c r="J17" s="26" t="str">
        <f>IF(F17="","",F17*Controls!$B$6)</f>
        <v/>
      </c>
      <c r="K17" s="27">
        <f>IFERROR(_xlfn.SINGLE(_xlfn.XLOOKUP(B17, Model_Lookups!$A$5:$A$9, Model_Lookups!$E$5:$E$9, Controls!$B$8)), Controls!$B$8)</f>
        <v>4</v>
      </c>
      <c r="L17" s="26">
        <f>IFERROR(_xlfn.SINGLE(_xlfn.XLOOKUP(B17, Model_Lookups!$A$5:$A$9, Model_Lookups!$D$5:$D$9, Controls!$B$9)), Controls!$B$9)</f>
        <v>3000</v>
      </c>
      <c r="M17" s="26" t="str">
        <f t="shared" si="0"/>
        <v/>
      </c>
      <c r="N17" s="26" t="str">
        <f>IF(OR(L17="",M17=""),"",ROUNDUP((M17/L17)*(1+Controls!$B$7),0))</f>
        <v/>
      </c>
      <c r="O17" s="26" t="str">
        <f>IFERROR(_xlfn.SINGLE(_xlfn.XLOOKUP(B17, Model_Lookups!$A$5:$A$9, Model_Lookups!$F$5:$F$9, "")), "")</f>
        <v/>
      </c>
      <c r="P17" s="26" t="str">
        <f t="shared" si="1"/>
        <v/>
      </c>
      <c r="Q17" s="19"/>
    </row>
    <row r="18" spans="1:17" x14ac:dyDescent="0.4">
      <c r="A18" s="18"/>
      <c r="B18" s="23"/>
      <c r="C18" s="23"/>
      <c r="D18" s="23"/>
      <c r="E18" s="24"/>
      <c r="F18" s="24"/>
      <c r="G18" s="24"/>
      <c r="H18" s="24"/>
      <c r="I18" s="25"/>
      <c r="J18" s="26" t="str">
        <f>IF(F18="","",F18*Controls!$B$6)</f>
        <v/>
      </c>
      <c r="K18" s="27">
        <f>IFERROR(_xlfn.SINGLE(_xlfn.XLOOKUP(B18, Model_Lookups!$A$5:$A$9, Model_Lookups!$E$5:$E$9, Controls!$B$8)), Controls!$B$8)</f>
        <v>4</v>
      </c>
      <c r="L18" s="26">
        <f>IFERROR(_xlfn.SINGLE(_xlfn.XLOOKUP(B18, Model_Lookups!$A$5:$A$9, Model_Lookups!$D$5:$D$9, Controls!$B$9)), Controls!$B$9)</f>
        <v>3000</v>
      </c>
      <c r="M18" s="26" t="str">
        <f t="shared" si="0"/>
        <v/>
      </c>
      <c r="N18" s="26" t="str">
        <f>IF(OR(L18="",M18=""),"",ROUNDUP((M18/L18)*(1+Controls!$B$7),0))</f>
        <v/>
      </c>
      <c r="O18" s="26" t="str">
        <f>IFERROR(_xlfn.SINGLE(_xlfn.XLOOKUP(B18, Model_Lookups!$A$5:$A$9, Model_Lookups!$F$5:$F$9, "")), "")</f>
        <v/>
      </c>
      <c r="P18" s="26" t="str">
        <f t="shared" si="1"/>
        <v/>
      </c>
      <c r="Q18" s="19"/>
    </row>
    <row r="19" spans="1:17" x14ac:dyDescent="0.4">
      <c r="A19" s="18"/>
      <c r="B19" s="23"/>
      <c r="C19" s="23"/>
      <c r="D19" s="23"/>
      <c r="E19" s="24"/>
      <c r="F19" s="24"/>
      <c r="G19" s="24"/>
      <c r="H19" s="24"/>
      <c r="I19" s="25"/>
      <c r="J19" s="26" t="str">
        <f>IF(F19="","",F19*Controls!$B$6)</f>
        <v/>
      </c>
      <c r="K19" s="27">
        <f>IFERROR(_xlfn.SINGLE(_xlfn.XLOOKUP(B19, Model_Lookups!$A$5:$A$9, Model_Lookups!$E$5:$E$9, Controls!$B$8)), Controls!$B$8)</f>
        <v>4</v>
      </c>
      <c r="L19" s="26">
        <f>IFERROR(_xlfn.SINGLE(_xlfn.XLOOKUP(B19, Model_Lookups!$A$5:$A$9, Model_Lookups!$D$5:$D$9, Controls!$B$9)), Controls!$B$9)</f>
        <v>3000</v>
      </c>
      <c r="M19" s="26" t="str">
        <f t="shared" si="0"/>
        <v/>
      </c>
      <c r="N19" s="26" t="str">
        <f>IF(OR(L19="",M19=""),"",ROUNDUP((M19/L19)*(1+Controls!$B$7),0))</f>
        <v/>
      </c>
      <c r="O19" s="26" t="str">
        <f>IFERROR(_xlfn.SINGLE(_xlfn.XLOOKUP(B19, Model_Lookups!$A$5:$A$9, Model_Lookups!$F$5:$F$9, "")), "")</f>
        <v/>
      </c>
      <c r="P19" s="26" t="str">
        <f t="shared" si="1"/>
        <v/>
      </c>
      <c r="Q19" s="19"/>
    </row>
    <row r="20" spans="1:17" x14ac:dyDescent="0.4">
      <c r="A20" s="18"/>
      <c r="B20" s="23"/>
      <c r="C20" s="23"/>
      <c r="D20" s="23"/>
      <c r="E20" s="24"/>
      <c r="F20" s="24"/>
      <c r="G20" s="24"/>
      <c r="H20" s="24"/>
      <c r="I20" s="25"/>
      <c r="J20" s="26" t="str">
        <f>IF(F20="","",F20*Controls!$B$6)</f>
        <v/>
      </c>
      <c r="K20" s="27">
        <f>IFERROR(_xlfn.SINGLE(_xlfn.XLOOKUP(B20, Model_Lookups!$A$5:$A$9, Model_Lookups!$E$5:$E$9, Controls!$B$8)), Controls!$B$8)</f>
        <v>4</v>
      </c>
      <c r="L20" s="26">
        <f>IFERROR(_xlfn.SINGLE(_xlfn.XLOOKUP(B20, Model_Lookups!$A$5:$A$9, Model_Lookups!$D$5:$D$9, Controls!$B$9)), Controls!$B$9)</f>
        <v>3000</v>
      </c>
      <c r="M20" s="26" t="str">
        <f t="shared" si="0"/>
        <v/>
      </c>
      <c r="N20" s="26" t="str">
        <f>IF(OR(L20="",M20=""),"",ROUNDUP((M20/L20)*(1+Controls!$B$7),0))</f>
        <v/>
      </c>
      <c r="O20" s="26" t="str">
        <f>IFERROR(_xlfn.SINGLE(_xlfn.XLOOKUP(B20, Model_Lookups!$A$5:$A$9, Model_Lookups!$F$5:$F$9, "")), "")</f>
        <v/>
      </c>
      <c r="P20" s="26" t="str">
        <f t="shared" si="1"/>
        <v/>
      </c>
      <c r="Q20" s="19"/>
    </row>
    <row r="21" spans="1:17" x14ac:dyDescent="0.4">
      <c r="A21" s="18"/>
      <c r="B21" s="23"/>
      <c r="C21" s="23"/>
      <c r="D21" s="23"/>
      <c r="E21" s="24"/>
      <c r="F21" s="24"/>
      <c r="G21" s="24"/>
      <c r="H21" s="24"/>
      <c r="I21" s="25"/>
      <c r="J21" s="26" t="str">
        <f>IF(F21="","",F21*Controls!$B$6)</f>
        <v/>
      </c>
      <c r="K21" s="27">
        <f>IFERROR(_xlfn.SINGLE(_xlfn.XLOOKUP(B21, Model_Lookups!$A$5:$A$9, Model_Lookups!$E$5:$E$9, Controls!$B$8)), Controls!$B$8)</f>
        <v>4</v>
      </c>
      <c r="L21" s="26">
        <f>IFERROR(_xlfn.SINGLE(_xlfn.XLOOKUP(B21, Model_Lookups!$A$5:$A$9, Model_Lookups!$D$5:$D$9, Controls!$B$9)), Controls!$B$9)</f>
        <v>3000</v>
      </c>
      <c r="M21" s="26" t="str">
        <f t="shared" si="0"/>
        <v/>
      </c>
      <c r="N21" s="26" t="str">
        <f>IF(OR(L21="",M21=""),"",ROUNDUP((M21/L21)*(1+Controls!$B$7),0))</f>
        <v/>
      </c>
      <c r="O21" s="26" t="str">
        <f>IFERROR(_xlfn.SINGLE(_xlfn.XLOOKUP(B21, Model_Lookups!$A$5:$A$9, Model_Lookups!$F$5:$F$9, "")), "")</f>
        <v/>
      </c>
      <c r="P21" s="26" t="str">
        <f t="shared" si="1"/>
        <v/>
      </c>
      <c r="Q21" s="19"/>
    </row>
    <row r="22" spans="1:17" x14ac:dyDescent="0.4">
      <c r="A22" s="18"/>
      <c r="B22" s="23"/>
      <c r="C22" s="23"/>
      <c r="D22" s="23"/>
      <c r="E22" s="24"/>
      <c r="F22" s="24"/>
      <c r="G22" s="24"/>
      <c r="H22" s="24"/>
      <c r="I22" s="25"/>
      <c r="J22" s="26" t="str">
        <f>IF(F22="","",F22*Controls!$B$6)</f>
        <v/>
      </c>
      <c r="K22" s="27">
        <f>IFERROR(_xlfn.SINGLE(_xlfn.XLOOKUP(B22, Model_Lookups!$A$5:$A$9, Model_Lookups!$E$5:$E$9, Controls!$B$8)), Controls!$B$8)</f>
        <v>4</v>
      </c>
      <c r="L22" s="26">
        <f>IFERROR(_xlfn.SINGLE(_xlfn.XLOOKUP(B22, Model_Lookups!$A$5:$A$9, Model_Lookups!$D$5:$D$9, Controls!$B$9)), Controls!$B$9)</f>
        <v>3000</v>
      </c>
      <c r="M22" s="26" t="str">
        <f t="shared" si="0"/>
        <v/>
      </c>
      <c r="N22" s="26" t="str">
        <f>IF(OR(L22="",M22=""),"",ROUNDUP((M22/L22)*(1+Controls!$B$7),0))</f>
        <v/>
      </c>
      <c r="O22" s="26" t="str">
        <f>IFERROR(_xlfn.SINGLE(_xlfn.XLOOKUP(B22, Model_Lookups!$A$5:$A$9, Model_Lookups!$F$5:$F$9, "")), "")</f>
        <v/>
      </c>
      <c r="P22" s="26" t="str">
        <f t="shared" si="1"/>
        <v/>
      </c>
      <c r="Q22" s="19"/>
    </row>
    <row r="23" spans="1:17" x14ac:dyDescent="0.4">
      <c r="A23" s="18"/>
      <c r="B23" s="23"/>
      <c r="C23" s="23"/>
      <c r="D23" s="23"/>
      <c r="E23" s="24"/>
      <c r="F23" s="24"/>
      <c r="G23" s="24"/>
      <c r="H23" s="24"/>
      <c r="I23" s="25"/>
      <c r="J23" s="26" t="str">
        <f>IF(F23="","",F23*Controls!$B$6)</f>
        <v/>
      </c>
      <c r="K23" s="27">
        <f>IFERROR(_xlfn.SINGLE(_xlfn.XLOOKUP(B23, Model_Lookups!$A$5:$A$9, Model_Lookups!$E$5:$E$9, Controls!$B$8)), Controls!$B$8)</f>
        <v>4</v>
      </c>
      <c r="L23" s="26">
        <f>IFERROR(_xlfn.SINGLE(_xlfn.XLOOKUP(B23, Model_Lookups!$A$5:$A$9, Model_Lookups!$D$5:$D$9, Controls!$B$9)), Controls!$B$9)</f>
        <v>3000</v>
      </c>
      <c r="M23" s="26" t="str">
        <f t="shared" si="0"/>
        <v/>
      </c>
      <c r="N23" s="26" t="str">
        <f>IF(OR(L23="",M23=""),"",ROUNDUP((M23/L23)*(1+Controls!$B$7),0))</f>
        <v/>
      </c>
      <c r="O23" s="26" t="str">
        <f>IFERROR(_xlfn.SINGLE(_xlfn.XLOOKUP(B23, Model_Lookups!$A$5:$A$9, Model_Lookups!$F$5:$F$9, "")), "")</f>
        <v/>
      </c>
      <c r="P23" s="26" t="str">
        <f t="shared" si="1"/>
        <v/>
      </c>
      <c r="Q23" s="19"/>
    </row>
    <row r="24" spans="1:17" x14ac:dyDescent="0.4">
      <c r="A24" s="18"/>
      <c r="B24" s="23"/>
      <c r="C24" s="23"/>
      <c r="D24" s="23"/>
      <c r="E24" s="24"/>
      <c r="F24" s="24"/>
      <c r="G24" s="24"/>
      <c r="H24" s="24"/>
      <c r="I24" s="25"/>
      <c r="J24" s="26" t="str">
        <f>IF(F24="","",F24*Controls!$B$6)</f>
        <v/>
      </c>
      <c r="K24" s="27">
        <f>IFERROR(_xlfn.SINGLE(_xlfn.XLOOKUP(B24, Model_Lookups!$A$5:$A$9, Model_Lookups!$E$5:$E$9, Controls!$B$8)), Controls!$B$8)</f>
        <v>4</v>
      </c>
      <c r="L24" s="26">
        <f>IFERROR(_xlfn.SINGLE(_xlfn.XLOOKUP(B24, Model_Lookups!$A$5:$A$9, Model_Lookups!$D$5:$D$9, Controls!$B$9)), Controls!$B$9)</f>
        <v>3000</v>
      </c>
      <c r="M24" s="26" t="str">
        <f t="shared" si="0"/>
        <v/>
      </c>
      <c r="N24" s="26" t="str">
        <f>IF(OR(L24="",M24=""),"",ROUNDUP((M24/L24)*(1+Controls!$B$7),0))</f>
        <v/>
      </c>
      <c r="O24" s="26" t="str">
        <f>IFERROR(_xlfn.SINGLE(_xlfn.XLOOKUP(B24, Model_Lookups!$A$5:$A$9, Model_Lookups!$F$5:$F$9, "")), "")</f>
        <v/>
      </c>
      <c r="P24" s="26" t="str">
        <f t="shared" si="1"/>
        <v/>
      </c>
      <c r="Q24" s="19"/>
    </row>
  </sheetData>
  <mergeCells count="2">
    <mergeCell ref="A2:H2"/>
    <mergeCell ref="A1:H1"/>
  </mergeCells>
  <conditionalFormatting sqref="N5:N24">
    <cfRule type="cellIs" dxfId="1" priority="2" operator="greaterThan">
      <formula>0</formula>
    </cfRule>
  </conditionalFormatting>
  <conditionalFormatting sqref="P5:P24">
    <cfRule type="cellIs" dxfId="0" priority="1" operator="greaterThan">
      <formula>0</formula>
    </cfRule>
  </conditionalFormatting>
  <dataValidations count="1">
    <dataValidation type="list" allowBlank="1" sqref="C5 C6 C7 C8 C9 C10 C11 C12 C13 C14 C15 C16 C17 C18 C19 C20 C21 C22 C23 C24" xr:uid="{00000000-0002-0000-0300-000001000000}">
      <formula1>"Global,Data Zone,Regional,Standard/PAYGO"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Model_Lookups!$A$5:$A$9</xm:f>
          </x14:formula1>
          <xm:sqref>B5 B6 B7 B8 B9 B10 B11 B12 B13 B14 B15 B16 B17 B18 B19 B20 B21 B22 B23 B24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4"/>
  <sheetViews>
    <sheetView showGridLines="0" workbookViewId="0">
      <pane ySplit="5" topLeftCell="A26" activePane="bottomLeft" state="frozen"/>
      <selection pane="bottomLeft" sqref="A1:H1"/>
    </sheetView>
  </sheetViews>
  <sheetFormatPr defaultRowHeight="14.6" x14ac:dyDescent="0.4"/>
  <cols>
    <col min="1" max="1" width="24" customWidth="1"/>
    <col min="2" max="2" width="16" customWidth="1"/>
    <col min="3" max="4" width="18" customWidth="1"/>
    <col min="5" max="6" width="24" customWidth="1"/>
  </cols>
  <sheetData>
    <row r="1" spans="1:8" ht="24" customHeight="1" x14ac:dyDescent="0.4">
      <c r="A1" s="36" t="s">
        <v>92</v>
      </c>
      <c r="B1" s="35"/>
      <c r="C1" s="35"/>
      <c r="D1" s="35"/>
      <c r="E1" s="35"/>
      <c r="F1" s="35"/>
      <c r="G1" s="35"/>
      <c r="H1" s="35"/>
    </row>
    <row r="2" spans="1:8" ht="18" customHeight="1" x14ac:dyDescent="0.4">
      <c r="A2" s="34" t="s">
        <v>93</v>
      </c>
      <c r="B2" s="35"/>
      <c r="C2" s="35"/>
      <c r="D2" s="35"/>
      <c r="E2" s="35"/>
      <c r="F2" s="35"/>
      <c r="G2" s="35"/>
      <c r="H2" s="35"/>
    </row>
    <row r="4" spans="1:8" ht="16.75" x14ac:dyDescent="0.45">
      <c r="A4" s="32" t="s">
        <v>94</v>
      </c>
      <c r="B4" s="33"/>
      <c r="C4" s="33"/>
      <c r="D4" s="33"/>
    </row>
    <row r="5" spans="1:8" ht="15.9" x14ac:dyDescent="0.4">
      <c r="A5" s="8" t="s">
        <v>95</v>
      </c>
      <c r="B5" s="8" t="s">
        <v>29</v>
      </c>
      <c r="C5" s="8" t="s">
        <v>30</v>
      </c>
      <c r="D5" s="8" t="s">
        <v>61</v>
      </c>
      <c r="E5" s="9"/>
      <c r="F5" s="9"/>
      <c r="G5" s="9"/>
      <c r="H5" s="9"/>
    </row>
    <row r="6" spans="1:8" x14ac:dyDescent="0.4">
      <c r="A6" s="28" t="s">
        <v>96</v>
      </c>
      <c r="B6" s="29">
        <f>COUNTA(Workload_Sizing!A5:A24)</f>
        <v>2</v>
      </c>
      <c r="C6" s="30"/>
      <c r="D6" s="30"/>
      <c r="E6" s="9"/>
      <c r="F6" s="9"/>
      <c r="G6" s="9"/>
      <c r="H6" s="9"/>
    </row>
    <row r="7" spans="1:8" x14ac:dyDescent="0.4">
      <c r="A7" s="28" t="s">
        <v>97</v>
      </c>
      <c r="B7" s="29">
        <f>SUM(Workload_Sizing!P5:P24)</f>
        <v>122</v>
      </c>
      <c r="C7" s="30" t="s">
        <v>98</v>
      </c>
      <c r="D7" s="30"/>
      <c r="E7" s="9"/>
      <c r="F7" s="9"/>
      <c r="G7" s="9"/>
      <c r="H7" s="9"/>
    </row>
    <row r="8" spans="1:8" x14ac:dyDescent="0.4">
      <c r="A8" s="28" t="s">
        <v>99</v>
      </c>
      <c r="B8" s="29">
        <f>SUM(Workload_Sizing!M5:M24)</f>
        <v>314720</v>
      </c>
      <c r="C8" s="30"/>
      <c r="D8" s="30"/>
      <c r="E8" s="9"/>
      <c r="F8" s="9"/>
      <c r="G8" s="9"/>
      <c r="H8" s="9"/>
    </row>
    <row r="9" spans="1:8" x14ac:dyDescent="0.4">
      <c r="A9" s="28" t="s">
        <v>100</v>
      </c>
      <c r="B9" s="31" t="str">
        <f>IF(Controls!B10=0,"",B6*Controls!B10*24)</f>
        <v/>
      </c>
      <c r="C9" s="30" t="s">
        <v>101</v>
      </c>
      <c r="D9" s="30" t="s">
        <v>102</v>
      </c>
      <c r="E9" s="9"/>
      <c r="F9" s="9"/>
      <c r="G9" s="9"/>
      <c r="H9" s="9"/>
    </row>
    <row r="10" spans="1:8" x14ac:dyDescent="0.4">
      <c r="A10" s="28" t="s">
        <v>103</v>
      </c>
      <c r="B10" s="31" t="str">
        <f>IF(Controls!B11=0,"",B6*Controls!B11)</f>
        <v/>
      </c>
      <c r="C10" s="30" t="s">
        <v>101</v>
      </c>
      <c r="D10" s="30" t="s">
        <v>102</v>
      </c>
      <c r="E10" s="9"/>
      <c r="F10" s="9"/>
      <c r="G10" s="9"/>
      <c r="H10" s="9"/>
    </row>
    <row r="11" spans="1:8" x14ac:dyDescent="0.4">
      <c r="A11" s="28" t="s">
        <v>104</v>
      </c>
      <c r="B11" s="31" t="str">
        <f>IF(Controls!B12=0,"",B6*Controls!B12)</f>
        <v/>
      </c>
      <c r="C11" s="30"/>
      <c r="D11" s="30"/>
      <c r="E11" s="9"/>
      <c r="F11" s="9"/>
      <c r="G11" s="9"/>
      <c r="H11" s="9"/>
    </row>
    <row r="12" spans="1:8" x14ac:dyDescent="0.4">
      <c r="A12" s="9"/>
      <c r="B12" s="9"/>
      <c r="C12" s="9"/>
      <c r="D12" s="9"/>
      <c r="E12" s="9"/>
      <c r="F12" s="9"/>
      <c r="G12" s="9"/>
      <c r="H12" s="9"/>
    </row>
    <row r="13" spans="1:8" x14ac:dyDescent="0.4">
      <c r="A13" s="9"/>
      <c r="B13" s="9"/>
      <c r="C13" s="9"/>
      <c r="D13" s="9"/>
      <c r="E13" s="9"/>
      <c r="F13" s="9"/>
      <c r="G13" s="9"/>
      <c r="H13" s="9"/>
    </row>
    <row r="14" spans="1:8" x14ac:dyDescent="0.4">
      <c r="A14" s="9" t="s">
        <v>73</v>
      </c>
      <c r="B14" s="9" t="s">
        <v>85</v>
      </c>
      <c r="C14" s="9"/>
      <c r="D14" s="9"/>
      <c r="E14" s="9"/>
      <c r="F14" s="9"/>
      <c r="G14" s="9"/>
      <c r="H14" s="9"/>
    </row>
    <row r="15" spans="1:8" x14ac:dyDescent="0.4">
      <c r="A15" s="9" t="str">
        <f>Workload_Sizing!A5</f>
        <v>Agent Assist</v>
      </c>
      <c r="B15" s="9">
        <f>Workload_Sizing!P5</f>
        <v>66</v>
      </c>
      <c r="C15" s="9"/>
      <c r="D15" s="9"/>
      <c r="E15" s="9"/>
      <c r="F15" s="9"/>
      <c r="G15" s="9"/>
      <c r="H15" s="9"/>
    </row>
    <row r="16" spans="1:8" x14ac:dyDescent="0.4">
      <c r="A16" s="9" t="str">
        <f>Workload_Sizing!A6</f>
        <v>Document Q&amp;A</v>
      </c>
      <c r="B16" s="9">
        <f>Workload_Sizing!P6</f>
        <v>56</v>
      </c>
      <c r="C16" s="9"/>
      <c r="D16" s="9"/>
      <c r="E16" s="9"/>
      <c r="F16" s="9"/>
      <c r="G16" s="9"/>
      <c r="H16" s="9"/>
    </row>
    <row r="17" spans="1:2" x14ac:dyDescent="0.4">
      <c r="A17" s="9">
        <f>Workload_Sizing!A7</f>
        <v>0</v>
      </c>
      <c r="B17" s="9" t="str">
        <f>Workload_Sizing!P7</f>
        <v/>
      </c>
    </row>
    <row r="18" spans="1:2" x14ac:dyDescent="0.4">
      <c r="A18" s="9">
        <f>Workload_Sizing!A8</f>
        <v>0</v>
      </c>
      <c r="B18" s="9" t="str">
        <f>Workload_Sizing!P8</f>
        <v/>
      </c>
    </row>
    <row r="19" spans="1:2" x14ac:dyDescent="0.4">
      <c r="A19" s="9">
        <f>Workload_Sizing!A9</f>
        <v>0</v>
      </c>
      <c r="B19" s="9" t="str">
        <f>Workload_Sizing!P9</f>
        <v/>
      </c>
    </row>
    <row r="20" spans="1:2" x14ac:dyDescent="0.4">
      <c r="A20" s="9">
        <f>Workload_Sizing!A10</f>
        <v>0</v>
      </c>
      <c r="B20" s="9" t="str">
        <f>Workload_Sizing!P10</f>
        <v/>
      </c>
    </row>
    <row r="21" spans="1:2" x14ac:dyDescent="0.4">
      <c r="A21" s="9">
        <f>Workload_Sizing!A11</f>
        <v>0</v>
      </c>
      <c r="B21" s="9" t="str">
        <f>Workload_Sizing!P11</f>
        <v/>
      </c>
    </row>
    <row r="22" spans="1:2" x14ac:dyDescent="0.4">
      <c r="A22" s="9">
        <f>Workload_Sizing!A12</f>
        <v>0</v>
      </c>
      <c r="B22" s="9" t="str">
        <f>Workload_Sizing!P12</f>
        <v/>
      </c>
    </row>
    <row r="23" spans="1:2" x14ac:dyDescent="0.4">
      <c r="A23" s="9">
        <f>Workload_Sizing!A13</f>
        <v>0</v>
      </c>
      <c r="B23" s="9" t="str">
        <f>Workload_Sizing!P13</f>
        <v/>
      </c>
    </row>
    <row r="24" spans="1:2" x14ac:dyDescent="0.4">
      <c r="A24" s="9">
        <f>Workload_Sizing!A14</f>
        <v>0</v>
      </c>
      <c r="B24" s="9" t="str">
        <f>Workload_Sizing!P14</f>
        <v/>
      </c>
    </row>
  </sheetData>
  <mergeCells count="3">
    <mergeCell ref="A4:D4"/>
    <mergeCell ref="A2:H2"/>
    <mergeCell ref="A1:H1"/>
  </mergeCells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Controls</vt:lpstr>
      <vt:lpstr>Model_Lookups</vt:lpstr>
      <vt:lpstr>Workload_Sizing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Linda Zhang</cp:lastModifiedBy>
  <cp:revision/>
  <dcterms:created xsi:type="dcterms:W3CDTF">2026-06-22T11:15:00Z</dcterms:created>
  <dcterms:modified xsi:type="dcterms:W3CDTF">2026-06-22T18:14:53Z</dcterms:modified>
  <cp:category/>
  <cp:contentStatus/>
</cp:coreProperties>
</file>